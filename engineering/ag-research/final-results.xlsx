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lannerymcnair/Documents/GitHub/resume-website/engineering/ag-research/"/>
    </mc:Choice>
  </mc:AlternateContent>
  <xr:revisionPtr revIDLastSave="0" documentId="13_ncr:1_{FCDF25D9-0171-654A-A9E8-5F5306146E1C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concentration" sheetId="1" r:id="rId1"/>
    <sheet name="weigh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9" i="1"/>
  <c r="B18" i="1"/>
  <c r="I19" i="1"/>
  <c r="I18" i="1"/>
  <c r="D24" i="2"/>
  <c r="E24" i="2" s="1"/>
  <c r="C24" i="2"/>
  <c r="B24" i="2"/>
  <c r="D23" i="2"/>
  <c r="E23" i="2" s="1"/>
  <c r="C23" i="2"/>
  <c r="B23" i="2"/>
  <c r="D22" i="2"/>
  <c r="E22" i="2" s="1"/>
  <c r="C22" i="2"/>
  <c r="B22" i="2"/>
  <c r="D21" i="2"/>
  <c r="E21" i="2" s="1"/>
  <c r="C21" i="2"/>
  <c r="B21" i="2"/>
  <c r="D20" i="2"/>
  <c r="E20" i="2" s="1"/>
  <c r="C20" i="2"/>
  <c r="B20" i="2"/>
  <c r="D19" i="2"/>
  <c r="E19" i="2" s="1"/>
  <c r="C19" i="2"/>
  <c r="B19" i="2"/>
  <c r="D18" i="2"/>
  <c r="E18" i="2" s="1"/>
  <c r="C18" i="2"/>
  <c r="B18" i="2"/>
  <c r="D17" i="2"/>
  <c r="E17" i="2" s="1"/>
  <c r="C17" i="2"/>
  <c r="B17" i="2"/>
  <c r="E13" i="2"/>
  <c r="D13" i="2"/>
  <c r="C15" i="1"/>
  <c r="H13" i="1" s="1"/>
  <c r="I13" i="1" s="1"/>
  <c r="J14" i="1"/>
  <c r="G14" i="1"/>
  <c r="J13" i="1"/>
  <c r="G13" i="1"/>
  <c r="J12" i="1"/>
  <c r="G12" i="1"/>
  <c r="J11" i="1"/>
  <c r="G11" i="1"/>
  <c r="J10" i="1"/>
  <c r="G10" i="1"/>
  <c r="J9" i="1"/>
  <c r="J8" i="1"/>
  <c r="G8" i="1"/>
  <c r="J7" i="1"/>
  <c r="J15" i="1" s="1"/>
  <c r="G7" i="1"/>
  <c r="G15" i="1" s="1"/>
  <c r="C18" i="1" l="1"/>
  <c r="H8" i="1"/>
  <c r="I8" i="1" s="1"/>
  <c r="I10" i="1"/>
  <c r="H12" i="1"/>
  <c r="I12" i="1" s="1"/>
  <c r="H14" i="1"/>
  <c r="I14" i="1" s="1"/>
  <c r="I20" i="1" s="1"/>
  <c r="H7" i="1"/>
  <c r="I7" i="1" s="1"/>
  <c r="H9" i="1"/>
  <c r="I9" i="1" s="1"/>
  <c r="H11" i="1"/>
  <c r="I11" i="1" s="1"/>
</calcChain>
</file>

<file path=xl/sharedStrings.xml><?xml version="1.0" encoding="utf-8"?>
<sst xmlns="http://schemas.openxmlformats.org/spreadsheetml/2006/main" count="61" uniqueCount="48">
  <si>
    <t>sample</t>
  </si>
  <si>
    <t>expected concentration (ppb)</t>
  </si>
  <si>
    <t>actual concentration (ppb)</t>
  </si>
  <si>
    <t>acid added (ml)</t>
  </si>
  <si>
    <t>dilution 1</t>
  </si>
  <si>
    <t>dilution 2</t>
  </si>
  <si>
    <t>before dilutions</t>
  </si>
  <si>
    <t>% per organ</t>
  </si>
  <si>
    <t>ng V/g dry weight</t>
  </si>
  <si>
    <t>C1</t>
  </si>
  <si>
    <t>2.3:10</t>
  </si>
  <si>
    <t>C2</t>
  </si>
  <si>
    <t>C3</t>
  </si>
  <si>
    <t>C4</t>
  </si>
  <si>
    <t>A1 - bottom applied leaves</t>
  </si>
  <si>
    <t>A2 - top applied leaves</t>
  </si>
  <si>
    <t>B - upper leaves and shoot</t>
  </si>
  <si>
    <t>C - applied trunk</t>
  </si>
  <si>
    <t>D - lower trunk</t>
  </si>
  <si>
    <t>H - lower leaves</t>
  </si>
  <si>
    <t>E1 - main roots</t>
  </si>
  <si>
    <t>E2 - small roots</t>
  </si>
  <si>
    <t>total expected concentration</t>
  </si>
  <si>
    <t>organ</t>
  </si>
  <si>
    <t>percent V</t>
  </si>
  <si>
    <t xml:space="preserve">extraction efficiency </t>
  </si>
  <si>
    <t xml:space="preserve">leaves </t>
  </si>
  <si>
    <t>trunk</t>
  </si>
  <si>
    <t>roots</t>
  </si>
  <si>
    <t>Boat</t>
  </si>
  <si>
    <t xml:space="preserve">Initial Weight </t>
  </si>
  <si>
    <t>Weight after drying</t>
  </si>
  <si>
    <t>Weight after combustion</t>
  </si>
  <si>
    <t>A1</t>
  </si>
  <si>
    <t>A2</t>
  </si>
  <si>
    <t>B</t>
  </si>
  <si>
    <t>C</t>
  </si>
  <si>
    <t>D</t>
  </si>
  <si>
    <t>H</t>
  </si>
  <si>
    <t>E1</t>
  </si>
  <si>
    <t>E2</t>
  </si>
  <si>
    <t>g1</t>
  </si>
  <si>
    <t>g2</t>
  </si>
  <si>
    <t>g3</t>
  </si>
  <si>
    <t>avg g difference</t>
  </si>
  <si>
    <t>w/o boat</t>
  </si>
  <si>
    <t>Initial Weight</t>
  </si>
  <si>
    <t xml:space="preserve">weight (mg)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</si>
</sst>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 vertical="top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Pecent Vanadium per Plant Organ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concentration!$I$17</c:f>
              <c:strCache>
                <c:ptCount val="1"/>
                <c:pt idx="0">
                  <c:v>percent V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concentration!$H$18:$H$20</c:f>
              <c:strCache>
                <c:ptCount val="3"/>
                <c:pt idx="0">
                  <c:v>leaves </c:v>
                </c:pt>
                <c:pt idx="1">
                  <c:v>trunk</c:v>
                </c:pt>
                <c:pt idx="2">
                  <c:v>roots</c:v>
                </c:pt>
              </c:strCache>
            </c:strRef>
          </c:cat>
          <c:val>
            <c:numRef>
              <c:f>concentration!$I$18:$I$20</c:f>
              <c:numCache>
                <c:formatCode>General</c:formatCode>
                <c:ptCount val="3"/>
                <c:pt idx="0">
                  <c:v>57.543241267060765</c:v>
                </c:pt>
                <c:pt idx="1">
                  <c:v>11.405600377592716</c:v>
                </c:pt>
                <c:pt idx="2">
                  <c:v>31.051158355346537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2-C249-85C2-E7FD0DB91A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71651647"/>
        <c:axId val="2067646754"/>
      </c:barChart>
      <c:catAx>
        <c:axId val="27165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46754"/>
        <c:crosses val="autoZero"/>
        <c:auto val="1"/>
        <c:lblAlgn val="ctr"/>
        <c:lblOffset val="100"/>
        <c:noMultiLvlLbl val="1"/>
      </c:catAx>
      <c:valAx>
        <c:axId val="206764675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Vanadium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7165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673100</xdr:colOff>
      <xdr:row>7</xdr:row>
      <xdr:rowOff>149225</xdr:rowOff>
    </xdr:from>
    <xdr:ext cx="6896100" cy="43211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"/>
  <sheetViews>
    <sheetView tabSelected="1" workbookViewId="0">
      <selection activeCell="H28" sqref="H28"/>
    </sheetView>
  </sheetViews>
  <sheetFormatPr baseColWidth="10" defaultColWidth="12.6640625" defaultRowHeight="15.75" customHeight="1" x14ac:dyDescent="0.15"/>
  <cols>
    <col min="1" max="1" width="20.83203125" customWidth="1"/>
    <col min="2" max="2" width="16.1640625" customWidth="1"/>
    <col min="3" max="3" width="17.1640625" customWidth="1"/>
  </cols>
  <sheetData>
    <row r="1" spans="1:10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 spans="1:10" ht="15.75" customHeight="1" x14ac:dyDescent="0.15">
      <c r="A2" s="3" t="s">
        <v>9</v>
      </c>
      <c r="B2" s="4">
        <v>15</v>
      </c>
      <c r="C2" s="5">
        <v>23.163964103251899</v>
      </c>
      <c r="D2" s="3">
        <v>2</v>
      </c>
      <c r="E2" s="6">
        <v>5.5555555555555552E-2</v>
      </c>
      <c r="F2" s="3" t="s">
        <v>10</v>
      </c>
    </row>
    <row r="3" spans="1:10" ht="15.75" customHeight="1" x14ac:dyDescent="0.15">
      <c r="A3" s="3" t="s">
        <v>11</v>
      </c>
      <c r="B3" s="4">
        <v>15</v>
      </c>
      <c r="C3" s="5">
        <v>27.847469931933901</v>
      </c>
      <c r="D3" s="3">
        <v>2</v>
      </c>
      <c r="E3" s="6">
        <v>5.5555555555555552E-2</v>
      </c>
      <c r="F3" s="3" t="s">
        <v>10</v>
      </c>
    </row>
    <row r="4" spans="1:10" ht="15.75" customHeight="1" x14ac:dyDescent="0.15">
      <c r="A4" s="3" t="s">
        <v>12</v>
      </c>
      <c r="B4" s="4">
        <v>15</v>
      </c>
      <c r="C4" s="5">
        <v>15.1798611837729</v>
      </c>
      <c r="D4" s="3">
        <v>2</v>
      </c>
      <c r="E4" s="6">
        <v>5.5555555555555552E-2</v>
      </c>
      <c r="F4" s="3" t="s">
        <v>10</v>
      </c>
    </row>
    <row r="5" spans="1:10" ht="15.75" customHeight="1" x14ac:dyDescent="0.15">
      <c r="A5" s="3" t="s">
        <v>13</v>
      </c>
      <c r="B5" s="4">
        <v>15</v>
      </c>
      <c r="C5" s="5">
        <v>14.126207957177099</v>
      </c>
      <c r="D5" s="3">
        <v>2</v>
      </c>
      <c r="E5" s="6">
        <v>5.5555555555555552E-2</v>
      </c>
      <c r="F5" s="3" t="s">
        <v>10</v>
      </c>
    </row>
    <row r="6" spans="1:10" ht="15.75" customHeight="1" x14ac:dyDescent="0.15">
      <c r="C6" s="4"/>
    </row>
    <row r="7" spans="1:10" ht="15.75" customHeight="1" x14ac:dyDescent="0.15">
      <c r="A7" s="3" t="s">
        <v>14</v>
      </c>
      <c r="B7" s="3">
        <v>75</v>
      </c>
      <c r="C7" s="5">
        <v>31.631277165578702</v>
      </c>
      <c r="D7" s="3">
        <v>2</v>
      </c>
      <c r="E7" s="6">
        <v>9.7222222222222224E-2</v>
      </c>
      <c r="F7" s="6">
        <v>4.8611111111111112E-2</v>
      </c>
      <c r="G7" s="3">
        <f t="shared" ref="G7:G8" si="0">C7*10*10</f>
        <v>3163.1277165578699</v>
      </c>
      <c r="H7" s="3">
        <f>C7/C15</f>
        <v>0.2329283928957803</v>
      </c>
      <c r="I7" s="3">
        <f t="shared" ref="I7:I14" si="1">H7*100</f>
        <v>23.29283928957803</v>
      </c>
      <c r="J7" s="3">
        <f>C7*1000/weights!D2</f>
        <v>1205.2306026130195</v>
      </c>
    </row>
    <row r="8" spans="1:10" ht="15.75" customHeight="1" x14ac:dyDescent="0.15">
      <c r="A8" s="3" t="s">
        <v>15</v>
      </c>
      <c r="B8" s="3">
        <v>75</v>
      </c>
      <c r="C8" s="5">
        <v>30.767742556580501</v>
      </c>
      <c r="D8" s="3">
        <v>2</v>
      </c>
      <c r="E8" s="6">
        <v>9.7222222222222224E-2</v>
      </c>
      <c r="F8" s="6">
        <v>4.8611111111111112E-2</v>
      </c>
      <c r="G8" s="3">
        <f t="shared" si="0"/>
        <v>3076.7742556580506</v>
      </c>
      <c r="H8" s="3">
        <f>C8/C15</f>
        <v>0.22656944230295628</v>
      </c>
      <c r="I8" s="3">
        <f t="shared" si="1"/>
        <v>22.656944230295629</v>
      </c>
      <c r="J8" s="3">
        <f>C8*1000/weights!D3</f>
        <v>1180.9220294995205</v>
      </c>
    </row>
    <row r="9" spans="1:10" ht="15.75" customHeight="1" x14ac:dyDescent="0.15">
      <c r="A9" s="3" t="s">
        <v>16</v>
      </c>
      <c r="B9" s="3">
        <v>15</v>
      </c>
      <c r="C9" s="5">
        <v>1.4052579163638601</v>
      </c>
      <c r="D9" s="3">
        <v>2</v>
      </c>
      <c r="E9" s="6">
        <v>9.7222222222222224E-2</v>
      </c>
      <c r="F9" s="3">
        <v>1</v>
      </c>
      <c r="G9" s="3">
        <f>C9*10</f>
        <v>14.052579163638601</v>
      </c>
      <c r="H9" s="3">
        <f>C9/C15</f>
        <v>1.034812683500819E-2</v>
      </c>
      <c r="I9" s="3">
        <f t="shared" si="1"/>
        <v>1.0348126835008191</v>
      </c>
      <c r="J9" s="3">
        <f>C9*1000/weights!D4</f>
        <v>54.121236909834785</v>
      </c>
    </row>
    <row r="10" spans="1:10" ht="15.75" customHeight="1" x14ac:dyDescent="0.15">
      <c r="A10" s="3" t="s">
        <v>17</v>
      </c>
      <c r="B10" s="3">
        <v>15</v>
      </c>
      <c r="C10" s="5">
        <v>0.13571556865818399</v>
      </c>
      <c r="D10" s="3">
        <v>2</v>
      </c>
      <c r="E10" s="6">
        <v>9.7222222222222224E-2</v>
      </c>
      <c r="F10" s="6">
        <v>4.8611111111111112E-2</v>
      </c>
      <c r="G10" s="3">
        <f>C10*10*10</f>
        <v>13.571556865818399</v>
      </c>
      <c r="H10" s="3">
        <f>C10/C15</f>
        <v>9.9939086028711017E-4</v>
      </c>
      <c r="I10" s="3">
        <f t="shared" si="1"/>
        <v>9.9939086028711016E-2</v>
      </c>
      <c r="J10" s="3">
        <f>C10*1000/weights!D5</f>
        <v>5.2074118892711221</v>
      </c>
    </row>
    <row r="11" spans="1:10" ht="15.75" customHeight="1" x14ac:dyDescent="0.15">
      <c r="A11" s="3" t="s">
        <v>18</v>
      </c>
      <c r="B11" s="3">
        <v>15</v>
      </c>
      <c r="C11" s="5">
        <v>15.3528945702048</v>
      </c>
      <c r="D11" s="3">
        <v>2</v>
      </c>
      <c r="E11" s="6">
        <v>9.7222222222222224E-2</v>
      </c>
      <c r="F11" s="3">
        <v>1</v>
      </c>
      <c r="G11" s="3">
        <f t="shared" ref="G11:G14" si="2">C11*10</f>
        <v>153.52894570204799</v>
      </c>
      <c r="H11" s="3">
        <f>C11/C15</f>
        <v>0.11305661291564005</v>
      </c>
      <c r="I11" s="3">
        <f t="shared" si="1"/>
        <v>11.305661291564006</v>
      </c>
      <c r="J11" s="3">
        <f>C11*1000/weights!D6</f>
        <v>530.81957508573805</v>
      </c>
    </row>
    <row r="12" spans="1:10" ht="15.75" customHeight="1" x14ac:dyDescent="0.15">
      <c r="A12" s="3" t="s">
        <v>19</v>
      </c>
      <c r="B12" s="3">
        <v>15</v>
      </c>
      <c r="C12" s="5">
        <v>14.338459315772001</v>
      </c>
      <c r="D12" s="3">
        <v>2</v>
      </c>
      <c r="E12" s="6">
        <v>9.7222222222222224E-2</v>
      </c>
      <c r="F12" s="3">
        <v>1</v>
      </c>
      <c r="G12" s="3">
        <f t="shared" si="2"/>
        <v>143.38459315772002</v>
      </c>
      <c r="H12" s="3">
        <f>C12/C15</f>
        <v>0.10558645063686281</v>
      </c>
      <c r="I12" s="3">
        <f t="shared" si="1"/>
        <v>10.558645063686281</v>
      </c>
      <c r="J12" s="3">
        <f>C12*1000/weights!D7</f>
        <v>544.93992534858626</v>
      </c>
    </row>
    <row r="13" spans="1:10" ht="15.75" customHeight="1" x14ac:dyDescent="0.15">
      <c r="A13" s="3" t="s">
        <v>20</v>
      </c>
      <c r="B13" s="3">
        <v>15</v>
      </c>
      <c r="C13" s="5">
        <v>11.2193392007488</v>
      </c>
      <c r="D13" s="3">
        <v>2</v>
      </c>
      <c r="E13" s="6">
        <v>9.7222222222222224E-2</v>
      </c>
      <c r="F13" s="3">
        <v>1</v>
      </c>
      <c r="G13" s="3">
        <f t="shared" si="2"/>
        <v>112.193392007488</v>
      </c>
      <c r="H13" s="3">
        <f>C13/C15</f>
        <v>8.2617677297799841E-2</v>
      </c>
      <c r="I13" s="3">
        <f t="shared" si="1"/>
        <v>8.2617677297799847</v>
      </c>
      <c r="J13" s="3">
        <f>C13*1000/weights!D8</f>
        <v>396.49912357749508</v>
      </c>
    </row>
    <row r="14" spans="1:10" ht="15.75" customHeight="1" x14ac:dyDescent="0.15">
      <c r="A14" s="3" t="s">
        <v>21</v>
      </c>
      <c r="B14" s="3">
        <v>15</v>
      </c>
      <c r="C14" s="5">
        <v>30.947602494920901</v>
      </c>
      <c r="D14" s="3">
        <v>2</v>
      </c>
      <c r="E14" s="6">
        <v>9.7222222222222224E-2</v>
      </c>
      <c r="F14" s="3">
        <v>1</v>
      </c>
      <c r="G14" s="3">
        <f t="shared" si="2"/>
        <v>309.47602494920898</v>
      </c>
      <c r="H14" s="3">
        <f>C14/C15</f>
        <v>0.22789390625566552</v>
      </c>
      <c r="I14" s="3">
        <f t="shared" si="1"/>
        <v>22.789390625566554</v>
      </c>
      <c r="J14" s="3">
        <f>C14*1000/weights!D9</f>
        <v>1170.0859198805588</v>
      </c>
    </row>
    <row r="15" spans="1:10" ht="15.75" customHeight="1" x14ac:dyDescent="0.15">
      <c r="C15" s="3">
        <f>SUM(C7:C14)</f>
        <v>135.79828878882773</v>
      </c>
      <c r="G15" s="3">
        <f>SUM(G2:G14)</f>
        <v>6986.1090640618431</v>
      </c>
      <c r="J15" s="3">
        <f>SUM(J7:J14)</f>
        <v>5087.8258248040238</v>
      </c>
    </row>
    <row r="17" spans="1:9" ht="15.75" customHeight="1" x14ac:dyDescent="0.15">
      <c r="A17" s="3" t="s">
        <v>22</v>
      </c>
      <c r="B17" s="3">
        <v>150</v>
      </c>
      <c r="H17" s="3" t="s">
        <v>23</v>
      </c>
      <c r="I17" s="3" t="s">
        <v>24</v>
      </c>
    </row>
    <row r="18" spans="1:9" ht="15.75" customHeight="1" x14ac:dyDescent="0.15">
      <c r="A18" s="3" t="s">
        <v>25</v>
      </c>
      <c r="B18" s="3">
        <f>C15/B17</f>
        <v>0.90532192525885158</v>
      </c>
      <c r="C18" s="3">
        <f>B18*100</f>
        <v>90.532192525885165</v>
      </c>
      <c r="H18" s="1" t="s">
        <v>26</v>
      </c>
      <c r="I18" s="3">
        <f>SUM(I7:I9,I12)</f>
        <v>57.543241267060765</v>
      </c>
    </row>
    <row r="19" spans="1:9" ht="15.75" customHeight="1" x14ac:dyDescent="0.15">
      <c r="H19" s="1" t="s">
        <v>27</v>
      </c>
      <c r="I19" s="3">
        <f>SUM(I10:I11)</f>
        <v>11.405600377592716</v>
      </c>
    </row>
    <row r="20" spans="1:9" ht="15.75" customHeight="1" x14ac:dyDescent="0.15">
      <c r="H20" s="1" t="s">
        <v>28</v>
      </c>
      <c r="I20" s="3">
        <f>SUM(I13:I14)</f>
        <v>31.051158355346537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4"/>
  <sheetViews>
    <sheetView workbookViewId="0">
      <selection activeCell="E29" sqref="E29"/>
    </sheetView>
  </sheetViews>
  <sheetFormatPr baseColWidth="10" defaultColWidth="12.6640625" defaultRowHeight="15.75" customHeight="1" x14ac:dyDescent="0.15"/>
  <cols>
    <col min="3" max="3" width="15" customWidth="1"/>
    <col min="4" max="5" width="18.83203125" customWidth="1"/>
  </cols>
  <sheetData>
    <row r="1" spans="1:5" ht="15.75" customHeight="1" x14ac:dyDescent="0.15">
      <c r="B1" s="3" t="s">
        <v>29</v>
      </c>
      <c r="C1" s="3" t="s">
        <v>30</v>
      </c>
      <c r="D1" s="3" t="s">
        <v>31</v>
      </c>
      <c r="E1" s="3" t="s">
        <v>32</v>
      </c>
    </row>
    <row r="2" spans="1:5" ht="15.75" customHeight="1" x14ac:dyDescent="0.15">
      <c r="A2" s="3" t="s">
        <v>33</v>
      </c>
      <c r="B2" s="3">
        <v>25.363</v>
      </c>
      <c r="C2" s="3">
        <v>28.195</v>
      </c>
      <c r="D2" s="3">
        <v>26.245000000000001</v>
      </c>
      <c r="E2" s="3">
        <v>25.495999999999999</v>
      </c>
    </row>
    <row r="3" spans="1:5" ht="15.75" customHeight="1" x14ac:dyDescent="0.15">
      <c r="A3" s="3" t="s">
        <v>34</v>
      </c>
      <c r="B3" s="3">
        <v>25.131</v>
      </c>
      <c r="C3" s="3">
        <v>28.46</v>
      </c>
      <c r="D3" s="3">
        <v>26.053999999999998</v>
      </c>
      <c r="E3" s="3">
        <v>25.263000000000002</v>
      </c>
    </row>
    <row r="4" spans="1:5" ht="15.75" customHeight="1" x14ac:dyDescent="0.15">
      <c r="A4" s="3" t="s">
        <v>35</v>
      </c>
      <c r="B4" s="3">
        <v>25.125</v>
      </c>
      <c r="C4" s="3">
        <v>28.97</v>
      </c>
      <c r="D4" s="3">
        <v>25.965</v>
      </c>
      <c r="E4" s="3">
        <v>25.273</v>
      </c>
    </row>
    <row r="5" spans="1:5" ht="15.75" customHeight="1" x14ac:dyDescent="0.15">
      <c r="A5" s="3" t="s">
        <v>36</v>
      </c>
      <c r="B5" s="3">
        <v>25.233000000000001</v>
      </c>
      <c r="C5" s="3">
        <v>27.451000000000001</v>
      </c>
      <c r="D5" s="3">
        <v>26.062000000000001</v>
      </c>
      <c r="E5" s="3">
        <v>25.298999999999999</v>
      </c>
    </row>
    <row r="6" spans="1:5" ht="15.75" customHeight="1" x14ac:dyDescent="0.15">
      <c r="A6" s="3" t="s">
        <v>37</v>
      </c>
      <c r="B6" s="3">
        <v>25.074999999999999</v>
      </c>
      <c r="C6" s="3">
        <v>32.953000000000003</v>
      </c>
      <c r="D6" s="3">
        <v>28.922999999999998</v>
      </c>
      <c r="E6" s="3">
        <v>25.238</v>
      </c>
    </row>
    <row r="7" spans="1:5" ht="15.75" customHeight="1" x14ac:dyDescent="0.15">
      <c r="A7" s="3" t="s">
        <v>38</v>
      </c>
      <c r="B7" s="3">
        <v>25.274999999999999</v>
      </c>
      <c r="C7" s="3">
        <v>28.381</v>
      </c>
      <c r="D7" s="3">
        <v>26.312000000000001</v>
      </c>
      <c r="E7" s="3">
        <v>25.442</v>
      </c>
    </row>
    <row r="8" spans="1:5" ht="15.75" customHeight="1" x14ac:dyDescent="0.15">
      <c r="A8" s="3" t="s">
        <v>39</v>
      </c>
      <c r="B8" s="3">
        <v>25.05</v>
      </c>
      <c r="C8" s="3">
        <v>33.420999999999999</v>
      </c>
      <c r="D8" s="3">
        <v>28.295999999999999</v>
      </c>
      <c r="E8" s="3">
        <v>25.193999999999999</v>
      </c>
    </row>
    <row r="9" spans="1:5" ht="15.75" customHeight="1" x14ac:dyDescent="0.15">
      <c r="A9" s="3" t="s">
        <v>40</v>
      </c>
      <c r="B9" s="3">
        <v>25.175000000000001</v>
      </c>
      <c r="C9" s="3">
        <v>32.554000000000002</v>
      </c>
      <c r="D9" s="3">
        <v>26.449000000000002</v>
      </c>
      <c r="E9" s="3">
        <v>25.303000000000001</v>
      </c>
    </row>
    <row r="10" spans="1:5" ht="15.75" customHeight="1" x14ac:dyDescent="0.15">
      <c r="A10" s="3" t="s">
        <v>41</v>
      </c>
      <c r="B10" s="3">
        <v>25.030999999999999</v>
      </c>
      <c r="D10" s="3">
        <v>25.021999999999998</v>
      </c>
      <c r="E10" s="3">
        <v>25.032</v>
      </c>
    </row>
    <row r="11" spans="1:5" ht="15.75" customHeight="1" x14ac:dyDescent="0.15">
      <c r="A11" s="3" t="s">
        <v>42</v>
      </c>
      <c r="B11" s="3">
        <v>24.701000000000001</v>
      </c>
      <c r="D11" s="3">
        <v>24.695</v>
      </c>
      <c r="E11" s="3">
        <v>24.698</v>
      </c>
    </row>
    <row r="12" spans="1:5" ht="15.75" customHeight="1" x14ac:dyDescent="0.15">
      <c r="A12" s="3" t="s">
        <v>43</v>
      </c>
      <c r="B12" s="3">
        <v>24.957999999999998</v>
      </c>
      <c r="D12" s="3">
        <v>24.952999999999999</v>
      </c>
      <c r="E12" s="3">
        <v>24.957999999999998</v>
      </c>
    </row>
    <row r="13" spans="1:5" ht="15.75" customHeight="1" x14ac:dyDescent="0.15">
      <c r="A13" s="3" t="s">
        <v>44</v>
      </c>
      <c r="D13" s="3">
        <f>(B12-D12 + B11-D11 + B10-D10)/3</f>
        <v>6.6666666666665248E-3</v>
      </c>
      <c r="E13" s="3">
        <f>(B10-E10 + B11-E11 + B12-E12)/3</f>
        <v>6.6666666666629715E-4</v>
      </c>
    </row>
    <row r="16" spans="1:5" ht="15.75" customHeight="1" x14ac:dyDescent="0.15">
      <c r="A16" s="3" t="s">
        <v>45</v>
      </c>
      <c r="B16" s="3" t="s">
        <v>46</v>
      </c>
      <c r="C16" s="3" t="s">
        <v>31</v>
      </c>
      <c r="D16" s="3" t="s">
        <v>32</v>
      </c>
      <c r="E16" s="3" t="s">
        <v>47</v>
      </c>
    </row>
    <row r="17" spans="1:5" ht="15.75" customHeight="1" x14ac:dyDescent="0.15">
      <c r="A17" s="3" t="s">
        <v>33</v>
      </c>
      <c r="B17" s="3">
        <f t="shared" ref="B17:B24" si="0">C2-B2</f>
        <v>2.8320000000000007</v>
      </c>
      <c r="C17" s="3">
        <f t="shared" ref="C17:C24" si="1">D2-B2</f>
        <v>0.88200000000000145</v>
      </c>
      <c r="D17" s="3">
        <f t="shared" ref="D17:D24" si="2">E2-B2</f>
        <v>0.13299999999999912</v>
      </c>
      <c r="E17" s="3">
        <f t="shared" ref="E17:E24" si="3">D17*1000</f>
        <v>132.99999999999912</v>
      </c>
    </row>
    <row r="18" spans="1:5" ht="15.75" customHeight="1" x14ac:dyDescent="0.15">
      <c r="A18" s="3" t="s">
        <v>34</v>
      </c>
      <c r="B18" s="3">
        <f t="shared" si="0"/>
        <v>3.3290000000000006</v>
      </c>
      <c r="C18" s="3">
        <f t="shared" si="1"/>
        <v>0.92299999999999827</v>
      </c>
      <c r="D18" s="3">
        <f t="shared" si="2"/>
        <v>0.13200000000000145</v>
      </c>
      <c r="E18" s="3">
        <f t="shared" si="3"/>
        <v>132.00000000000145</v>
      </c>
    </row>
    <row r="19" spans="1:5" ht="15.75" customHeight="1" x14ac:dyDescent="0.15">
      <c r="A19" s="3" t="s">
        <v>35</v>
      </c>
      <c r="B19" s="3">
        <f t="shared" si="0"/>
        <v>3.8449999999999989</v>
      </c>
      <c r="C19" s="3">
        <f t="shared" si="1"/>
        <v>0.83999999999999986</v>
      </c>
      <c r="D19" s="3">
        <f t="shared" si="2"/>
        <v>0.14799999999999969</v>
      </c>
      <c r="E19" s="3">
        <f t="shared" si="3"/>
        <v>147.99999999999969</v>
      </c>
    </row>
    <row r="20" spans="1:5" ht="15.75" customHeight="1" x14ac:dyDescent="0.15">
      <c r="A20" s="3" t="s">
        <v>36</v>
      </c>
      <c r="B20" s="3">
        <f t="shared" si="0"/>
        <v>2.218</v>
      </c>
      <c r="C20" s="3">
        <f t="shared" si="1"/>
        <v>0.82900000000000063</v>
      </c>
      <c r="D20" s="3">
        <f t="shared" si="2"/>
        <v>6.5999999999998948E-2</v>
      </c>
      <c r="E20" s="3">
        <f t="shared" si="3"/>
        <v>65.999999999998948</v>
      </c>
    </row>
    <row r="21" spans="1:5" ht="15.75" customHeight="1" x14ac:dyDescent="0.15">
      <c r="A21" s="3" t="s">
        <v>37</v>
      </c>
      <c r="B21" s="3">
        <f t="shared" si="0"/>
        <v>7.8780000000000037</v>
      </c>
      <c r="C21" s="3">
        <f t="shared" si="1"/>
        <v>3.847999999999999</v>
      </c>
      <c r="D21" s="3">
        <f t="shared" si="2"/>
        <v>0.16300000000000026</v>
      </c>
      <c r="E21" s="3">
        <f t="shared" si="3"/>
        <v>163.00000000000026</v>
      </c>
    </row>
    <row r="22" spans="1:5" ht="15.75" customHeight="1" x14ac:dyDescent="0.15">
      <c r="A22" s="3" t="s">
        <v>38</v>
      </c>
      <c r="B22" s="3">
        <f t="shared" si="0"/>
        <v>3.1060000000000016</v>
      </c>
      <c r="C22" s="3">
        <f t="shared" si="1"/>
        <v>1.0370000000000026</v>
      </c>
      <c r="D22" s="3">
        <f t="shared" si="2"/>
        <v>0.16700000000000159</v>
      </c>
      <c r="E22" s="3">
        <f t="shared" si="3"/>
        <v>167.00000000000159</v>
      </c>
    </row>
    <row r="23" spans="1:5" ht="15.75" customHeight="1" x14ac:dyDescent="0.15">
      <c r="A23" s="3" t="s">
        <v>39</v>
      </c>
      <c r="B23" s="3">
        <f t="shared" si="0"/>
        <v>8.3709999999999987</v>
      </c>
      <c r="C23" s="3">
        <f t="shared" si="1"/>
        <v>3.2459999999999987</v>
      </c>
      <c r="D23" s="3">
        <f t="shared" si="2"/>
        <v>0.14399999999999835</v>
      </c>
      <c r="E23" s="3">
        <f t="shared" si="3"/>
        <v>143.99999999999835</v>
      </c>
    </row>
    <row r="24" spans="1:5" ht="15.75" customHeight="1" x14ac:dyDescent="0.15">
      <c r="A24" s="3" t="s">
        <v>40</v>
      </c>
      <c r="B24" s="3">
        <f t="shared" si="0"/>
        <v>7.3790000000000013</v>
      </c>
      <c r="C24" s="3">
        <f t="shared" si="1"/>
        <v>1.2740000000000009</v>
      </c>
      <c r="D24" s="3">
        <f t="shared" si="2"/>
        <v>0.12800000000000011</v>
      </c>
      <c r="E24" s="3">
        <f t="shared" si="3"/>
        <v>128.00000000000011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Flannery McNair</cp:lastModifiedBy>
  <dcterms:created xsi:type="dcterms:W3CDTF">2026-05-26T19:27:05Z</dcterms:created>
  <dcterms:modified xsi:type="dcterms:W3CDTF">2026-06-08T14:32:11Z</dcterms:modified>
</cp:coreProperties>
</file>